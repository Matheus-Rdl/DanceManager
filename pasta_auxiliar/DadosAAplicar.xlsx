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DanceManager\"/>
    </mc:Choice>
  </mc:AlternateContent>
  <xr:revisionPtr revIDLastSave="0" documentId="8_{F8E0290A-2FCE-472D-8A57-630ED4E9D281}" xr6:coauthVersionLast="47" xr6:coauthVersionMax="47" xr10:uidLastSave="{00000000-0000-0000-0000-000000000000}"/>
  <bookViews>
    <workbookView xWindow="10245" yWindow="0" windowWidth="10245" windowHeight="10920" xr2:uid="{84AAF1F8-50A2-435A-9143-05FF4B376D7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" i="1" l="1"/>
  <c r="I80" i="1"/>
  <c r="H80" i="1"/>
  <c r="I32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</calcChain>
</file>

<file path=xl/sharedStrings.xml><?xml version="1.0" encoding="utf-8"?>
<sst xmlns="http://schemas.openxmlformats.org/spreadsheetml/2006/main" count="127" uniqueCount="109">
  <si>
    <t>Plano Atuais</t>
  </si>
  <si>
    <t>Raiz</t>
  </si>
  <si>
    <t>Balanço</t>
  </si>
  <si>
    <t>Imersão</t>
  </si>
  <si>
    <t>Beco</t>
  </si>
  <si>
    <t>1 Grupo</t>
  </si>
  <si>
    <t>2 Grupos</t>
  </si>
  <si>
    <t>3 Grupos</t>
  </si>
  <si>
    <t>3+</t>
  </si>
  <si>
    <t>Mensal</t>
  </si>
  <si>
    <t>Sementral</t>
  </si>
  <si>
    <t>Anual</t>
  </si>
  <si>
    <t>Aluno</t>
  </si>
  <si>
    <t>Plano</t>
  </si>
  <si>
    <t>Peridiocidade</t>
  </si>
  <si>
    <t>Valor Plano</t>
  </si>
  <si>
    <t>Turmas</t>
  </si>
  <si>
    <t>Controle de 3 Meses</t>
  </si>
  <si>
    <t>Descrição</t>
  </si>
  <si>
    <t>Julho</t>
  </si>
  <si>
    <t>Agosto</t>
  </si>
  <si>
    <t>Setembro</t>
  </si>
  <si>
    <t xml:space="preserve">Alessandra Freitas de Campos </t>
  </si>
  <si>
    <t>Funkeado 2 | Corpo de Samba</t>
  </si>
  <si>
    <t>Ok</t>
  </si>
  <si>
    <t xml:space="preserve">Aline Sacco Santana </t>
  </si>
  <si>
    <t>Funkeado 2</t>
  </si>
  <si>
    <t>Convergente</t>
  </si>
  <si>
    <t>Plano não está compativel com o valor descrito</t>
  </si>
  <si>
    <t>Ana C. V. Krepischi</t>
  </si>
  <si>
    <t>Mulheres | Bolero | Gafieira 2</t>
  </si>
  <si>
    <t>Ana Paula Pereira</t>
  </si>
  <si>
    <t>André Roberto Bonilho</t>
  </si>
  <si>
    <t>Angela Ferreira Andrade da Silva</t>
  </si>
  <si>
    <t>Angela Maria do Nascimento</t>
  </si>
  <si>
    <t>Beatriz Ramos Nerger</t>
  </si>
  <si>
    <t>Candice Izabel Miola</t>
  </si>
  <si>
    <t>Cleiton Silva</t>
  </si>
  <si>
    <t>Danielle Simões Augusto de Araújo</t>
  </si>
  <si>
    <t>Dinamara Pereira Rodrigues</t>
  </si>
  <si>
    <t>Edna Yurimi Ducarme</t>
  </si>
  <si>
    <t>Elisangela de Lourdes Passos</t>
  </si>
  <si>
    <t>Elisangela Gomes Pixitelli</t>
  </si>
  <si>
    <t>Erika Baggi Rodrigues  Gonzalez</t>
  </si>
  <si>
    <t>Erika de Moura Farias</t>
  </si>
  <si>
    <t>Fabiano Pimentel de Oliveira</t>
  </si>
  <si>
    <t>Flavia Gomes Pixitelle</t>
  </si>
  <si>
    <t>Guilherme Canute Monteiro</t>
  </si>
  <si>
    <t>Igor Queiroga Araujo</t>
  </si>
  <si>
    <t>Ione Guerreiro de Oliveira</t>
  </si>
  <si>
    <t>Isabella Benvenuti Alcântara de Oliveira</t>
  </si>
  <si>
    <t>Itália Delia Andrade Pereira</t>
  </si>
  <si>
    <t>Izabela Cristina da Silva Braz</t>
  </si>
  <si>
    <t>João Miranda oliveira</t>
  </si>
  <si>
    <t>José Bartolomeu Ribeiro</t>
  </si>
  <si>
    <t>Kelly de Miranda Ramos</t>
  </si>
  <si>
    <t>Kelly Ferreira de Freitas</t>
  </si>
  <si>
    <t>Lais Rodrigues</t>
  </si>
  <si>
    <t>Lilian Reis</t>
  </si>
  <si>
    <t>Lilian Seiryu</t>
  </si>
  <si>
    <t>Luciano de Jesus  França</t>
  </si>
  <si>
    <t>Luiz CS Domingues</t>
  </si>
  <si>
    <t>LUZIA BUENO VILAS BÔAS</t>
  </si>
  <si>
    <t>Maíra Ikeda Nogueira</t>
  </si>
  <si>
    <t>Manoel e Izabel Andre</t>
  </si>
  <si>
    <t>Marcia Martins Teixeira</t>
  </si>
  <si>
    <t>Marcos Roberto da Costa</t>
  </si>
  <si>
    <t>Maria Aparecida Campos</t>
  </si>
  <si>
    <t>Maria Helena Firmino</t>
  </si>
  <si>
    <t>Maria Helena Gonçalves Rodrigues</t>
  </si>
  <si>
    <t>MARIA ISABEL MUSSI</t>
  </si>
  <si>
    <t>Marina Mendes</t>
  </si>
  <si>
    <t>Marli santana barboza</t>
  </si>
  <si>
    <t>Mateus Pires Leme Ribeiro</t>
  </si>
  <si>
    <t>Matheus Rodrigues de Lima</t>
  </si>
  <si>
    <t>Michele de Cássia Carvalho Bertoni</t>
  </si>
  <si>
    <t>Mirian Midori Maeda</t>
  </si>
  <si>
    <t>Monique Guedes Fraraccio</t>
  </si>
  <si>
    <t>NatalI bRITO</t>
  </si>
  <si>
    <t>Natalie Yoshino</t>
  </si>
  <si>
    <t>Patricia Petriccione</t>
  </si>
  <si>
    <t>Paulo Leston de Aguiar</t>
  </si>
  <si>
    <t>Pedro Mendonça</t>
  </si>
  <si>
    <t>Poliana Sampaio Oliveira</t>
  </si>
  <si>
    <t>Priscila Carvalho de Almeida</t>
  </si>
  <si>
    <t>Rafaela Lopes</t>
  </si>
  <si>
    <t>Renato Alexandre dos Santos Monteiro Junior</t>
  </si>
  <si>
    <t>Rhamyle Fabres de Oliveira</t>
  </si>
  <si>
    <t>Roberto Alves de Andrade</t>
  </si>
  <si>
    <t>Rodrigo Abrão</t>
  </si>
  <si>
    <t>Ronaldo Vitor da Silva</t>
  </si>
  <si>
    <t>Rosa Machado de Aguiar</t>
  </si>
  <si>
    <t>Sergio Ricardo Oliveira de Souza</t>
  </si>
  <si>
    <t>THIAGO PARRA DOS SANTOS</t>
  </si>
  <si>
    <t>Vanusse de Andrade Soterio</t>
  </si>
  <si>
    <t>VILMA</t>
  </si>
  <si>
    <t>Vinicius Rocha Santos</t>
  </si>
  <si>
    <t>Viviane Ducarme</t>
  </si>
  <si>
    <t>Natália Bernardino</t>
  </si>
  <si>
    <t>Lívia Gomes EUA</t>
  </si>
  <si>
    <t>panela e leandro</t>
  </si>
  <si>
    <t>trancado</t>
  </si>
  <si>
    <t>bolsista</t>
  </si>
  <si>
    <t>?</t>
  </si>
  <si>
    <t>pausa</t>
  </si>
  <si>
    <t>-</t>
  </si>
  <si>
    <t>parou</t>
  </si>
  <si>
    <t>encerrou</t>
  </si>
  <si>
    <t>Gafieira 1 | Gafieira 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</si>
</sst>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[$R$ -416]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 style="double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double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44" fontId="0" fillId="0" borderId="0" xfId="1" applyFont="1" applyBorder="1"/>
    <xf numFmtId="44" fontId="0" fillId="2" borderId="2" xfId="1" applyFont="1" applyFill="1" applyBorder="1"/>
    <xf numFmtId="44" fontId="0" fillId="0" borderId="5" xfId="1" applyFont="1" applyBorder="1"/>
    <xf numFmtId="44" fontId="0" fillId="2" borderId="8" xfId="1" applyFont="1" applyFill="1" applyBorder="1"/>
    <xf numFmtId="0" fontId="0" fillId="0" borderId="0" xfId="0" applyFont="1"/>
    <xf numFmtId="0" fontId="0" fillId="2" borderId="1" xfId="0" applyFont="1" applyFill="1" applyBorder="1"/>
    <xf numFmtId="0" fontId="0" fillId="2" borderId="2" xfId="0" applyFont="1" applyFill="1" applyBorder="1"/>
    <xf numFmtId="164" fontId="0" fillId="2" borderId="3" xfId="0" applyNumberFormat="1" applyFont="1" applyFill="1" applyBorder="1"/>
    <xf numFmtId="0" fontId="0" fillId="2" borderId="4" xfId="0" applyFont="1" applyFill="1" applyBorder="1"/>
    <xf numFmtId="0" fontId="0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44" fontId="2" fillId="0" borderId="5" xfId="1" applyFont="1" applyBorder="1" applyAlignment="1">
      <alignment horizontal="left"/>
    </xf>
    <xf numFmtId="0" fontId="0" fillId="0" borderId="5" xfId="0" applyFont="1" applyBorder="1"/>
    <xf numFmtId="164" fontId="0" fillId="2" borderId="6" xfId="0" applyNumberFormat="1" applyFont="1" applyFill="1" applyBorder="1"/>
    <xf numFmtId="44" fontId="0" fillId="0" borderId="5" xfId="1" applyFont="1" applyBorder="1" applyAlignment="1">
      <alignment horizontal="left"/>
    </xf>
    <xf numFmtId="0" fontId="0" fillId="2" borderId="7" xfId="0" applyFont="1" applyFill="1" applyBorder="1"/>
    <xf numFmtId="0" fontId="0" fillId="2" borderId="8" xfId="0" applyFont="1" applyFill="1" applyBorder="1"/>
    <xf numFmtId="164" fontId="0" fillId="2" borderId="9" xfId="0" applyNumberFormat="1" applyFont="1" applyFill="1" applyBorder="1"/>
    <xf numFmtId="164" fontId="0" fillId="0" borderId="0" xfId="0" applyNumberFormat="1" applyFont="1"/>
    <xf numFmtId="0" fontId="3" fillId="0" borderId="5" xfId="0" applyFont="1" applyBorder="1"/>
    <xf numFmtId="0" fontId="3" fillId="3" borderId="5" xfId="0" applyFont="1" applyFill="1" applyBorder="1"/>
    <xf numFmtId="44" fontId="3" fillId="0" borderId="5" xfId="1" applyFont="1" applyBorder="1"/>
    <xf numFmtId="0" fontId="0" fillId="4" borderId="5" xfId="0" applyFont="1" applyFill="1" applyBorder="1"/>
    <xf numFmtId="44" fontId="0" fillId="4" borderId="5" xfId="1" applyFont="1" applyFill="1" applyBorder="1"/>
    <xf numFmtId="0" fontId="0" fillId="0" borderId="5" xfId="0" applyFont="1" applyFill="1" applyBorder="1"/>
    <xf numFmtId="49" fontId="0" fillId="0" borderId="5" xfId="0" applyNumberFormat="1" applyFont="1" applyFill="1" applyBorder="1"/>
    <xf numFmtId="44" fontId="0" fillId="3" borderId="5" xfId="1" applyFont="1" applyFill="1" applyBorder="1"/>
    <xf numFmtId="165" fontId="4" fillId="0" borderId="5" xfId="0" applyNumberFormat="1" applyFont="1" applyFill="1" applyBorder="1" applyAlignment="1">
      <alignment horizontal="center"/>
    </xf>
    <xf numFmtId="165" fontId="4" fillId="4" borderId="5" xfId="0" applyNumberFormat="1" applyFont="1" applyFill="1" applyBorder="1" applyAlignment="1">
      <alignment horizontal="center"/>
    </xf>
    <xf numFmtId="165" fontId="4" fillId="3" borderId="5" xfId="0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AADC9-AD75-44B3-9B68-2AC4E4269C93}">
  <dimension ref="B1:N186"/>
  <sheetViews>
    <sheetView tabSelected="1" workbookViewId="0">
      <selection activeCell="J15" sqref="J15"/>
    </sheetView>
  </sheetViews>
  <sheetFormatPr defaultRowHeight="16.5" thickTop="1" thickBottom="1" x14ac:dyDescent="0.3"/>
  <cols>
    <col min="1" max="1" width="2.42578125" style="5" customWidth="1"/>
    <col min="2" max="2" width="2.42578125" style="9" customWidth="1"/>
    <col min="3" max="3" width="31.85546875" style="13" customWidth="1"/>
    <col min="4" max="5" width="14.28515625" style="13" customWidth="1"/>
    <col min="6" max="6" width="14.28515625" style="3" customWidth="1"/>
    <col min="7" max="7" width="14.28515625" style="13" customWidth="1"/>
    <col min="8" max="10" width="11.42578125" style="3" customWidth="1"/>
    <col min="11" max="11" width="20.7109375" style="13" bestFit="1" customWidth="1"/>
    <col min="12" max="12" width="20.7109375" style="13" customWidth="1"/>
    <col min="13" max="13" width="2.42578125" style="14" customWidth="1"/>
    <col min="14" max="16384" width="9.140625" style="5"/>
  </cols>
  <sheetData>
    <row r="1" spans="2:14" ht="15.75" thickBot="1" x14ac:dyDescent="0.3">
      <c r="B1" s="5"/>
      <c r="C1" s="5"/>
      <c r="D1" s="5"/>
      <c r="E1" s="5"/>
      <c r="F1" s="1"/>
      <c r="G1" s="5"/>
      <c r="H1" s="1"/>
      <c r="I1" s="1"/>
      <c r="J1" s="1"/>
      <c r="K1" s="5"/>
      <c r="L1" s="5"/>
      <c r="M1" s="5"/>
    </row>
    <row r="2" spans="2:14" thickTop="1" thickBot="1" x14ac:dyDescent="0.3">
      <c r="B2" s="6"/>
      <c r="C2" s="7"/>
      <c r="D2" s="7"/>
      <c r="E2" s="7"/>
      <c r="F2" s="2"/>
      <c r="G2" s="7"/>
      <c r="H2" s="2"/>
      <c r="I2" s="2"/>
      <c r="J2" s="2"/>
      <c r="K2" s="7"/>
      <c r="L2" s="7"/>
      <c r="M2" s="8"/>
    </row>
    <row r="3" spans="2:14" thickTop="1" thickBot="1" x14ac:dyDescent="0.3">
      <c r="C3" s="10" t="s">
        <v>0</v>
      </c>
      <c r="D3" s="11" t="s">
        <v>1</v>
      </c>
      <c r="E3" s="11" t="s">
        <v>2</v>
      </c>
      <c r="F3" s="12" t="s">
        <v>3</v>
      </c>
      <c r="G3" s="11" t="s">
        <v>4</v>
      </c>
    </row>
    <row r="4" spans="2:14" thickTop="1" thickBot="1" x14ac:dyDescent="0.3">
      <c r="C4" s="10"/>
      <c r="D4" s="10" t="s">
        <v>5</v>
      </c>
      <c r="E4" s="10" t="s">
        <v>6</v>
      </c>
      <c r="F4" s="15" t="s">
        <v>7</v>
      </c>
      <c r="G4" s="10" t="s">
        <v>8</v>
      </c>
    </row>
    <row r="5" spans="2:14" thickTop="1" thickBot="1" x14ac:dyDescent="0.3">
      <c r="C5" s="10" t="s">
        <v>9</v>
      </c>
      <c r="D5" s="15">
        <v>190</v>
      </c>
      <c r="E5" s="15">
        <v>270</v>
      </c>
      <c r="F5" s="15">
        <v>320</v>
      </c>
      <c r="G5" s="15">
        <v>430</v>
      </c>
    </row>
    <row r="6" spans="2:14" thickTop="1" thickBot="1" x14ac:dyDescent="0.3">
      <c r="C6" s="10" t="s">
        <v>10</v>
      </c>
      <c r="D6" s="15">
        <v>170</v>
      </c>
      <c r="E6" s="15">
        <v>240</v>
      </c>
      <c r="F6" s="15">
        <v>290</v>
      </c>
      <c r="G6" s="15">
        <v>390</v>
      </c>
    </row>
    <row r="7" spans="2:14" thickTop="1" thickBot="1" x14ac:dyDescent="0.3">
      <c r="C7" s="10" t="s">
        <v>11</v>
      </c>
      <c r="D7" s="15">
        <v>150</v>
      </c>
      <c r="E7" s="15">
        <v>220</v>
      </c>
      <c r="F7" s="15">
        <v>260</v>
      </c>
      <c r="G7" s="15">
        <v>350</v>
      </c>
    </row>
    <row r="8" spans="2:14" thickTop="1" thickBot="1" x14ac:dyDescent="0.3">
      <c r="B8" s="16"/>
      <c r="C8" s="17"/>
      <c r="D8" s="17"/>
      <c r="E8" s="17"/>
      <c r="F8" s="4"/>
      <c r="G8" s="17"/>
      <c r="H8" s="4"/>
      <c r="I8" s="4"/>
      <c r="J8" s="4"/>
      <c r="K8" s="17"/>
      <c r="L8" s="17"/>
      <c r="M8" s="18"/>
    </row>
    <row r="9" spans="2:14" thickTop="1" thickBot="1" x14ac:dyDescent="0.3">
      <c r="B9" s="5"/>
      <c r="C9" s="5"/>
      <c r="D9" s="5"/>
      <c r="E9" s="5"/>
      <c r="F9" s="1"/>
      <c r="G9" s="5"/>
      <c r="H9" s="1"/>
      <c r="I9" s="1"/>
      <c r="J9" s="1"/>
      <c r="K9" s="5"/>
      <c r="L9" s="5"/>
      <c r="M9" s="19"/>
      <c r="N9" s="19"/>
    </row>
    <row r="10" spans="2:14" thickTop="1" thickBot="1" x14ac:dyDescent="0.3">
      <c r="B10" s="6"/>
      <c r="C10" s="7"/>
      <c r="D10" s="7"/>
      <c r="E10" s="7"/>
      <c r="F10" s="2"/>
      <c r="G10" s="7"/>
      <c r="H10" s="2"/>
      <c r="I10" s="2"/>
      <c r="J10" s="2"/>
      <c r="K10" s="7"/>
      <c r="L10" s="7"/>
      <c r="M10" s="8"/>
    </row>
    <row r="11" spans="2:14" thickTop="1" thickBot="1" x14ac:dyDescent="0.3">
      <c r="C11" s="25" t="s">
        <v>12</v>
      </c>
      <c r="D11" s="13" t="s">
        <v>13</v>
      </c>
      <c r="E11" s="13" t="s">
        <v>14</v>
      </c>
      <c r="F11" s="3" t="s">
        <v>15</v>
      </c>
      <c r="G11" s="13" t="s">
        <v>16</v>
      </c>
      <c r="H11" s="3" t="s">
        <v>19</v>
      </c>
      <c r="I11" s="3" t="s">
        <v>20</v>
      </c>
      <c r="J11" s="3" t="s">
        <v>21</v>
      </c>
      <c r="K11" s="13" t="s">
        <v>17</v>
      </c>
      <c r="L11" s="20" t="s">
        <v>18</v>
      </c>
    </row>
    <row r="12" spans="2:14" thickTop="1" thickBot="1" x14ac:dyDescent="0.3">
      <c r="C12" s="25" t="s">
        <v>22</v>
      </c>
      <c r="D12" s="13" t="s">
        <v>2</v>
      </c>
      <c r="E12" s="13" t="s">
        <v>10</v>
      </c>
      <c r="F12" s="3">
        <f>INDEX($D$5:$G$7,MATCH(E12,$C$5:$C$7,0),MATCH(D12,$D$3:$G$3,0))</f>
        <v>240</v>
      </c>
      <c r="G12" s="13" t="s">
        <v>23</v>
      </c>
      <c r="H12" s="24">
        <v>170</v>
      </c>
      <c r="I12" s="24">
        <v>170</v>
      </c>
      <c r="J12" s="24">
        <v>240</v>
      </c>
      <c r="K12" s="23" t="s">
        <v>24</v>
      </c>
    </row>
    <row r="13" spans="2:14" thickTop="1" thickBot="1" x14ac:dyDescent="0.3">
      <c r="C13" s="25" t="s">
        <v>25</v>
      </c>
      <c r="D13" s="13" t="s">
        <v>2</v>
      </c>
      <c r="E13" s="13" t="s">
        <v>10</v>
      </c>
      <c r="F13" s="3">
        <f>INDEX($D$5:$G$7,MATCH(E13,$C$5:$C$7,0),MATCH(D13,$D$3:$G$3,0))</f>
        <v>240</v>
      </c>
      <c r="G13" s="20" t="s">
        <v>26</v>
      </c>
      <c r="H13" s="24">
        <v>160</v>
      </c>
      <c r="I13" s="24">
        <v>160</v>
      </c>
      <c r="J13" s="27">
        <v>170</v>
      </c>
      <c r="K13" s="21" t="s">
        <v>27</v>
      </c>
      <c r="L13" s="20" t="s">
        <v>28</v>
      </c>
    </row>
    <row r="14" spans="2:14" thickTop="1" thickBot="1" x14ac:dyDescent="0.3">
      <c r="C14" s="25" t="s">
        <v>29</v>
      </c>
      <c r="D14" s="13" t="s">
        <v>3</v>
      </c>
      <c r="E14" s="13" t="s">
        <v>11</v>
      </c>
      <c r="F14" s="22">
        <f t="shared" ref="F14:F77" si="0">INDEX($D$5:$G$7,MATCH(E14,$C$5:$C$7,0),MATCH(D14,$D$3:$G$3,0))</f>
        <v>260</v>
      </c>
      <c r="G14" s="20" t="s">
        <v>30</v>
      </c>
      <c r="H14" s="29">
        <v>160</v>
      </c>
      <c r="I14" s="29">
        <v>160</v>
      </c>
      <c r="J14" s="30">
        <v>360</v>
      </c>
      <c r="K14" s="21" t="s">
        <v>27</v>
      </c>
      <c r="L14" s="20" t="s">
        <v>28</v>
      </c>
    </row>
    <row r="15" spans="2:14" thickTop="1" thickBot="1" x14ac:dyDescent="0.3">
      <c r="C15" s="25" t="s">
        <v>31</v>
      </c>
      <c r="F15" s="3" t="e">
        <f t="shared" si="0"/>
        <v>#N/A</v>
      </c>
      <c r="G15" s="20" t="s">
        <v>108</v>
      </c>
      <c r="H15" s="28">
        <v>240</v>
      </c>
      <c r="I15" s="28">
        <v>240</v>
      </c>
      <c r="J15" s="28">
        <v>350</v>
      </c>
    </row>
    <row r="16" spans="2:14" thickTop="1" thickBot="1" x14ac:dyDescent="0.3">
      <c r="C16" s="25" t="s">
        <v>32</v>
      </c>
      <c r="F16" s="3" t="e">
        <f t="shared" si="0"/>
        <v>#N/A</v>
      </c>
      <c r="H16" s="28">
        <v>200</v>
      </c>
      <c r="I16" s="28">
        <v>200</v>
      </c>
      <c r="J16" s="28">
        <v>150</v>
      </c>
    </row>
    <row r="17" spans="3:10" thickTop="1" thickBot="1" x14ac:dyDescent="0.3">
      <c r="C17" s="25" t="s">
        <v>33</v>
      </c>
      <c r="F17" s="3" t="e">
        <f t="shared" si="0"/>
        <v>#N/A</v>
      </c>
      <c r="H17" s="28">
        <v>200</v>
      </c>
      <c r="I17" s="28">
        <v>200</v>
      </c>
      <c r="J17" s="28">
        <v>200</v>
      </c>
    </row>
    <row r="18" spans="3:10" thickTop="1" thickBot="1" x14ac:dyDescent="0.3">
      <c r="C18" s="25" t="s">
        <v>34</v>
      </c>
      <c r="F18" s="3" t="e">
        <f t="shared" si="0"/>
        <v>#N/A</v>
      </c>
      <c r="H18" s="28">
        <v>180</v>
      </c>
      <c r="I18" s="28">
        <v>160</v>
      </c>
      <c r="J18" s="28">
        <v>180</v>
      </c>
    </row>
    <row r="19" spans="3:10" thickTop="1" thickBot="1" x14ac:dyDescent="0.3">
      <c r="C19" s="25" t="s">
        <v>35</v>
      </c>
      <c r="F19" s="3" t="e">
        <f t="shared" si="0"/>
        <v>#N/A</v>
      </c>
      <c r="H19" s="28">
        <v>180</v>
      </c>
      <c r="I19" s="28">
        <v>180</v>
      </c>
      <c r="J19" s="28">
        <v>170</v>
      </c>
    </row>
    <row r="20" spans="3:10" thickTop="1" thickBot="1" x14ac:dyDescent="0.3">
      <c r="C20" s="25" t="s">
        <v>36</v>
      </c>
      <c r="F20" s="3" t="e">
        <f t="shared" si="0"/>
        <v>#N/A</v>
      </c>
      <c r="H20" s="28">
        <v>260</v>
      </c>
      <c r="I20" s="28">
        <v>260</v>
      </c>
      <c r="J20" s="28">
        <v>350</v>
      </c>
    </row>
    <row r="21" spans="3:10" thickTop="1" thickBot="1" x14ac:dyDescent="0.3">
      <c r="C21" s="25" t="s">
        <v>37</v>
      </c>
      <c r="F21" s="3" t="e">
        <f t="shared" si="0"/>
        <v>#N/A</v>
      </c>
      <c r="H21" s="28">
        <v>200</v>
      </c>
      <c r="I21" s="28">
        <v>200</v>
      </c>
      <c r="J21" s="28">
        <v>220</v>
      </c>
    </row>
    <row r="22" spans="3:10" thickTop="1" thickBot="1" x14ac:dyDescent="0.3">
      <c r="C22" s="25" t="s">
        <v>38</v>
      </c>
      <c r="F22" s="3" t="e">
        <f t="shared" si="0"/>
        <v>#N/A</v>
      </c>
      <c r="H22" s="28">
        <v>140</v>
      </c>
      <c r="I22" s="28">
        <v>140</v>
      </c>
      <c r="J22" s="28">
        <v>140</v>
      </c>
    </row>
    <row r="23" spans="3:10" thickTop="1" thickBot="1" x14ac:dyDescent="0.3">
      <c r="C23" s="25" t="s">
        <v>39</v>
      </c>
      <c r="F23" s="3" t="e">
        <f t="shared" si="0"/>
        <v>#N/A</v>
      </c>
      <c r="H23" s="28">
        <v>140</v>
      </c>
      <c r="I23" s="28">
        <v>140</v>
      </c>
      <c r="J23" s="28">
        <v>140</v>
      </c>
    </row>
    <row r="24" spans="3:10" thickTop="1" thickBot="1" x14ac:dyDescent="0.3">
      <c r="C24" s="25" t="s">
        <v>40</v>
      </c>
      <c r="F24" s="3" t="e">
        <f t="shared" si="0"/>
        <v>#N/A</v>
      </c>
      <c r="H24" s="28">
        <v>200</v>
      </c>
      <c r="I24" s="28">
        <v>200</v>
      </c>
      <c r="J24" s="28">
        <v>350</v>
      </c>
    </row>
    <row r="25" spans="3:10" thickTop="1" thickBot="1" x14ac:dyDescent="0.3">
      <c r="C25" s="25" t="s">
        <v>41</v>
      </c>
      <c r="F25" s="3" t="e">
        <f t="shared" si="0"/>
        <v>#N/A</v>
      </c>
      <c r="H25" s="28">
        <v>200</v>
      </c>
      <c r="I25" s="28">
        <v>200</v>
      </c>
      <c r="J25" s="28">
        <v>220</v>
      </c>
    </row>
    <row r="26" spans="3:10" thickTop="1" thickBot="1" x14ac:dyDescent="0.3">
      <c r="C26" s="25" t="s">
        <v>42</v>
      </c>
      <c r="F26" s="3" t="e">
        <f t="shared" si="0"/>
        <v>#N/A</v>
      </c>
      <c r="H26" s="28">
        <v>160</v>
      </c>
      <c r="I26" s="28">
        <v>160</v>
      </c>
      <c r="J26" s="28">
        <v>220</v>
      </c>
    </row>
    <row r="27" spans="3:10" thickTop="1" thickBot="1" x14ac:dyDescent="0.3">
      <c r="C27" s="25" t="s">
        <v>43</v>
      </c>
      <c r="F27" s="3" t="e">
        <f t="shared" si="0"/>
        <v>#N/A</v>
      </c>
      <c r="H27" s="28">
        <v>140</v>
      </c>
      <c r="I27" s="28">
        <v>140</v>
      </c>
      <c r="J27" s="28">
        <v>150</v>
      </c>
    </row>
    <row r="28" spans="3:10" thickTop="1" thickBot="1" x14ac:dyDescent="0.3">
      <c r="C28" s="25" t="s">
        <v>44</v>
      </c>
      <c r="F28" s="3" t="e">
        <f t="shared" si="0"/>
        <v>#N/A</v>
      </c>
      <c r="H28" s="28">
        <v>140</v>
      </c>
      <c r="I28" s="28">
        <v>140</v>
      </c>
      <c r="J28" s="28">
        <v>150</v>
      </c>
    </row>
    <row r="29" spans="3:10" thickTop="1" thickBot="1" x14ac:dyDescent="0.3">
      <c r="C29" s="25" t="s">
        <v>45</v>
      </c>
      <c r="F29" s="3" t="e">
        <f t="shared" si="0"/>
        <v>#N/A</v>
      </c>
      <c r="H29" s="28">
        <v>120</v>
      </c>
      <c r="I29" s="28">
        <v>120</v>
      </c>
      <c r="J29" s="28">
        <v>120</v>
      </c>
    </row>
    <row r="30" spans="3:10" thickTop="1" thickBot="1" x14ac:dyDescent="0.3">
      <c r="C30" s="25" t="s">
        <v>46</v>
      </c>
      <c r="F30" s="3" t="e">
        <f t="shared" si="0"/>
        <v>#N/A</v>
      </c>
      <c r="H30" s="28" t="s">
        <v>101</v>
      </c>
      <c r="I30" s="28">
        <v>200</v>
      </c>
      <c r="J30" s="28">
        <v>200</v>
      </c>
    </row>
    <row r="31" spans="3:10" thickTop="1" thickBot="1" x14ac:dyDescent="0.3">
      <c r="C31" s="25" t="s">
        <v>47</v>
      </c>
      <c r="F31" s="3" t="e">
        <f t="shared" si="0"/>
        <v>#N/A</v>
      </c>
      <c r="H31" s="28">
        <v>140</v>
      </c>
      <c r="I31" s="28">
        <v>140</v>
      </c>
      <c r="J31" s="28">
        <v>140</v>
      </c>
    </row>
    <row r="32" spans="3:10" thickTop="1" thickBot="1" x14ac:dyDescent="0.3">
      <c r="C32" s="25" t="s">
        <v>48</v>
      </c>
      <c r="F32" s="3" t="e">
        <f t="shared" si="0"/>
        <v>#N/A</v>
      </c>
      <c r="H32" s="28">
        <v>55</v>
      </c>
      <c r="I32" s="28">
        <f>55+55+55+55</f>
        <v>220</v>
      </c>
      <c r="J32" s="28">
        <v>0</v>
      </c>
    </row>
    <row r="33" spans="3:10" thickTop="1" thickBot="1" x14ac:dyDescent="0.3">
      <c r="C33" s="25" t="s">
        <v>49</v>
      </c>
      <c r="F33" s="3" t="e">
        <f t="shared" si="0"/>
        <v>#N/A</v>
      </c>
      <c r="H33" s="28">
        <v>140</v>
      </c>
      <c r="I33" s="28">
        <v>140</v>
      </c>
      <c r="J33" s="28">
        <v>260</v>
      </c>
    </row>
    <row r="34" spans="3:10" thickTop="1" thickBot="1" x14ac:dyDescent="0.3">
      <c r="C34" s="25" t="s">
        <v>50</v>
      </c>
      <c r="F34" s="3" t="e">
        <f t="shared" si="0"/>
        <v>#N/A</v>
      </c>
      <c r="H34" s="28"/>
      <c r="I34" s="28">
        <v>220</v>
      </c>
      <c r="J34" s="28"/>
    </row>
    <row r="35" spans="3:10" thickTop="1" thickBot="1" x14ac:dyDescent="0.3">
      <c r="C35" s="25" t="s">
        <v>51</v>
      </c>
      <c r="F35" s="3" t="e">
        <f t="shared" si="0"/>
        <v>#N/A</v>
      </c>
      <c r="H35" s="28">
        <v>140</v>
      </c>
      <c r="I35" s="28">
        <v>140</v>
      </c>
      <c r="J35" s="28">
        <v>220</v>
      </c>
    </row>
    <row r="36" spans="3:10" thickTop="1" thickBot="1" x14ac:dyDescent="0.3">
      <c r="C36" s="25" t="s">
        <v>52</v>
      </c>
      <c r="F36" s="3" t="e">
        <f t="shared" si="0"/>
        <v>#N/A</v>
      </c>
      <c r="H36" s="28">
        <v>180</v>
      </c>
      <c r="I36" s="28">
        <v>180</v>
      </c>
      <c r="J36" s="28"/>
    </row>
    <row r="37" spans="3:10" thickTop="1" thickBot="1" x14ac:dyDescent="0.3">
      <c r="C37" s="25" t="s">
        <v>53</v>
      </c>
      <c r="F37" s="3" t="e">
        <f t="shared" si="0"/>
        <v>#N/A</v>
      </c>
      <c r="H37" s="28">
        <v>150</v>
      </c>
      <c r="I37" s="28">
        <v>150</v>
      </c>
      <c r="J37" s="28">
        <v>150</v>
      </c>
    </row>
    <row r="38" spans="3:10" thickTop="1" thickBot="1" x14ac:dyDescent="0.3">
      <c r="C38" s="25" t="s">
        <v>54</v>
      </c>
      <c r="F38" s="3" t="e">
        <f t="shared" si="0"/>
        <v>#N/A</v>
      </c>
      <c r="H38" s="28">
        <v>200</v>
      </c>
      <c r="I38" s="28">
        <v>200</v>
      </c>
      <c r="J38" s="28">
        <v>260</v>
      </c>
    </row>
    <row r="39" spans="3:10" thickTop="1" thickBot="1" x14ac:dyDescent="0.3">
      <c r="C39" s="25" t="s">
        <v>55</v>
      </c>
      <c r="F39" s="3" t="e">
        <f t="shared" si="0"/>
        <v>#N/A</v>
      </c>
      <c r="H39" s="28">
        <v>200</v>
      </c>
      <c r="I39" s="28">
        <v>200</v>
      </c>
      <c r="J39" s="28">
        <v>150</v>
      </c>
    </row>
    <row r="40" spans="3:10" thickTop="1" thickBot="1" x14ac:dyDescent="0.3">
      <c r="C40" s="25" t="s">
        <v>56</v>
      </c>
      <c r="F40" s="3" t="e">
        <f t="shared" si="0"/>
        <v>#N/A</v>
      </c>
      <c r="H40" s="28">
        <v>160</v>
      </c>
      <c r="I40" s="28">
        <v>160</v>
      </c>
      <c r="J40" s="28">
        <v>220</v>
      </c>
    </row>
    <row r="41" spans="3:10" thickTop="1" thickBot="1" x14ac:dyDescent="0.3">
      <c r="C41" s="25" t="s">
        <v>57</v>
      </c>
      <c r="F41" s="3" t="e">
        <f t="shared" si="0"/>
        <v>#N/A</v>
      </c>
      <c r="H41" s="28" t="s">
        <v>102</v>
      </c>
      <c r="I41" s="28" t="s">
        <v>102</v>
      </c>
      <c r="J41" s="28" t="s">
        <v>102</v>
      </c>
    </row>
    <row r="42" spans="3:10" thickTop="1" thickBot="1" x14ac:dyDescent="0.3">
      <c r="C42" s="25" t="s">
        <v>58</v>
      </c>
      <c r="F42" s="3" t="e">
        <f t="shared" si="0"/>
        <v>#N/A</v>
      </c>
      <c r="H42" s="28">
        <v>200</v>
      </c>
      <c r="I42" s="28">
        <v>200</v>
      </c>
      <c r="J42" s="28">
        <v>220</v>
      </c>
    </row>
    <row r="43" spans="3:10" thickTop="1" thickBot="1" x14ac:dyDescent="0.3">
      <c r="C43" s="25" t="s">
        <v>59</v>
      </c>
      <c r="F43" s="3" t="e">
        <f t="shared" si="0"/>
        <v>#N/A</v>
      </c>
      <c r="H43" s="28">
        <v>140</v>
      </c>
      <c r="I43" s="28">
        <v>140</v>
      </c>
      <c r="J43" s="28">
        <v>260</v>
      </c>
    </row>
    <row r="44" spans="3:10" thickTop="1" thickBot="1" x14ac:dyDescent="0.3">
      <c r="C44" s="25" t="s">
        <v>60</v>
      </c>
      <c r="F44" s="3" t="e">
        <f t="shared" si="0"/>
        <v>#N/A</v>
      </c>
      <c r="H44" s="28">
        <v>150</v>
      </c>
      <c r="I44" s="28">
        <v>150</v>
      </c>
      <c r="J44" s="28">
        <v>150</v>
      </c>
    </row>
    <row r="45" spans="3:10" thickTop="1" thickBot="1" x14ac:dyDescent="0.3">
      <c r="C45" s="25" t="s">
        <v>61</v>
      </c>
      <c r="F45" s="3" t="e">
        <f t="shared" si="0"/>
        <v>#N/A</v>
      </c>
      <c r="H45" s="28">
        <v>140</v>
      </c>
      <c r="I45" s="28">
        <v>140</v>
      </c>
      <c r="J45" s="28">
        <v>240</v>
      </c>
    </row>
    <row r="46" spans="3:10" thickTop="1" thickBot="1" x14ac:dyDescent="0.3">
      <c r="C46" s="25" t="s">
        <v>62</v>
      </c>
      <c r="F46" s="3" t="e">
        <f t="shared" si="0"/>
        <v>#N/A</v>
      </c>
      <c r="H46" s="28">
        <v>160</v>
      </c>
      <c r="I46" s="28">
        <v>160</v>
      </c>
      <c r="J46" s="28" t="s">
        <v>106</v>
      </c>
    </row>
    <row r="47" spans="3:10" thickTop="1" thickBot="1" x14ac:dyDescent="0.3">
      <c r="C47" s="25" t="s">
        <v>63</v>
      </c>
      <c r="F47" s="3" t="e">
        <f t="shared" si="0"/>
        <v>#N/A</v>
      </c>
      <c r="H47" s="28">
        <v>120</v>
      </c>
      <c r="I47" s="28">
        <v>120</v>
      </c>
      <c r="J47" s="28">
        <v>120</v>
      </c>
    </row>
    <row r="48" spans="3:10" thickTop="1" thickBot="1" x14ac:dyDescent="0.3">
      <c r="C48" s="25" t="s">
        <v>64</v>
      </c>
      <c r="F48" s="3" t="e">
        <f t="shared" si="0"/>
        <v>#N/A</v>
      </c>
      <c r="H48" s="28">
        <v>360</v>
      </c>
      <c r="I48" s="28">
        <v>360</v>
      </c>
      <c r="J48" s="28">
        <f>360+120</f>
        <v>480</v>
      </c>
    </row>
    <row r="49" spans="3:10" thickTop="1" thickBot="1" x14ac:dyDescent="0.3">
      <c r="C49" s="25" t="s">
        <v>65</v>
      </c>
      <c r="F49" s="3" t="e">
        <f t="shared" si="0"/>
        <v>#N/A</v>
      </c>
      <c r="H49" s="28">
        <v>160</v>
      </c>
      <c r="I49" s="28">
        <v>160</v>
      </c>
      <c r="J49" s="28" t="s">
        <v>104</v>
      </c>
    </row>
    <row r="50" spans="3:10" thickTop="1" thickBot="1" x14ac:dyDescent="0.3">
      <c r="C50" s="25" t="s">
        <v>66</v>
      </c>
      <c r="F50" s="3" t="e">
        <f t="shared" si="0"/>
        <v>#N/A</v>
      </c>
      <c r="H50" s="28">
        <v>200</v>
      </c>
      <c r="I50" s="28">
        <v>200</v>
      </c>
      <c r="J50" s="28"/>
    </row>
    <row r="51" spans="3:10" thickTop="1" thickBot="1" x14ac:dyDescent="0.3">
      <c r="C51" s="25" t="s">
        <v>67</v>
      </c>
      <c r="F51" s="3" t="e">
        <f t="shared" si="0"/>
        <v>#N/A</v>
      </c>
      <c r="H51" s="28">
        <v>200</v>
      </c>
      <c r="I51" s="28">
        <v>200</v>
      </c>
      <c r="J51" s="28">
        <v>350</v>
      </c>
    </row>
    <row r="52" spans="3:10" thickTop="1" thickBot="1" x14ac:dyDescent="0.3">
      <c r="C52" s="25" t="s">
        <v>68</v>
      </c>
      <c r="F52" s="3" t="e">
        <f t="shared" si="0"/>
        <v>#N/A</v>
      </c>
      <c r="H52" s="28">
        <v>160</v>
      </c>
      <c r="I52" s="28">
        <v>160</v>
      </c>
      <c r="J52" s="28">
        <v>220</v>
      </c>
    </row>
    <row r="53" spans="3:10" thickTop="1" thickBot="1" x14ac:dyDescent="0.3">
      <c r="C53" s="25" t="s">
        <v>69</v>
      </c>
      <c r="F53" s="3" t="e">
        <f t="shared" si="0"/>
        <v>#N/A</v>
      </c>
      <c r="H53" s="28">
        <v>300</v>
      </c>
      <c r="I53" s="28">
        <v>300</v>
      </c>
      <c r="J53" s="28"/>
    </row>
    <row r="54" spans="3:10" thickTop="1" thickBot="1" x14ac:dyDescent="0.3">
      <c r="C54" s="25" t="s">
        <v>70</v>
      </c>
      <c r="F54" s="3" t="e">
        <f t="shared" si="0"/>
        <v>#N/A</v>
      </c>
      <c r="H54" s="28">
        <v>230</v>
      </c>
      <c r="I54" s="28">
        <v>230</v>
      </c>
      <c r="J54" s="28">
        <v>220</v>
      </c>
    </row>
    <row r="55" spans="3:10" thickTop="1" thickBot="1" x14ac:dyDescent="0.3">
      <c r="C55" s="25" t="s">
        <v>71</v>
      </c>
      <c r="F55" s="3" t="e">
        <f t="shared" si="0"/>
        <v>#N/A</v>
      </c>
      <c r="H55" s="28">
        <v>200</v>
      </c>
      <c r="I55" s="28">
        <v>200</v>
      </c>
      <c r="J55" s="28">
        <v>220</v>
      </c>
    </row>
    <row r="56" spans="3:10" thickTop="1" thickBot="1" x14ac:dyDescent="0.3">
      <c r="C56" s="25" t="s">
        <v>72</v>
      </c>
      <c r="F56" s="3" t="e">
        <f t="shared" si="0"/>
        <v>#N/A</v>
      </c>
      <c r="H56" s="28">
        <v>140</v>
      </c>
      <c r="I56" s="28">
        <v>140</v>
      </c>
      <c r="J56" s="28">
        <v>150</v>
      </c>
    </row>
    <row r="57" spans="3:10" thickTop="1" thickBot="1" x14ac:dyDescent="0.3">
      <c r="C57" s="25" t="s">
        <v>73</v>
      </c>
      <c r="F57" s="3" t="e">
        <f t="shared" si="0"/>
        <v>#N/A</v>
      </c>
      <c r="H57" s="28" t="s">
        <v>103</v>
      </c>
      <c r="I57" s="28" t="s">
        <v>103</v>
      </c>
      <c r="J57" s="28" t="s">
        <v>103</v>
      </c>
    </row>
    <row r="58" spans="3:10" thickTop="1" thickBot="1" x14ac:dyDescent="0.3">
      <c r="C58" s="25" t="s">
        <v>74</v>
      </c>
      <c r="F58" s="3" t="e">
        <f t="shared" si="0"/>
        <v>#N/A</v>
      </c>
      <c r="H58" s="28" t="s">
        <v>102</v>
      </c>
      <c r="I58" s="28" t="s">
        <v>102</v>
      </c>
      <c r="J58" s="28" t="s">
        <v>102</v>
      </c>
    </row>
    <row r="59" spans="3:10" thickTop="1" thickBot="1" x14ac:dyDescent="0.3">
      <c r="C59" s="25" t="s">
        <v>75</v>
      </c>
      <c r="F59" s="3" t="e">
        <f t="shared" si="0"/>
        <v>#N/A</v>
      </c>
      <c r="H59" s="28">
        <v>200</v>
      </c>
      <c r="I59" s="28">
        <v>200</v>
      </c>
      <c r="J59" s="28"/>
    </row>
    <row r="60" spans="3:10" thickTop="1" thickBot="1" x14ac:dyDescent="0.3">
      <c r="C60" s="25" t="s">
        <v>76</v>
      </c>
      <c r="F60" s="3" t="e">
        <f t="shared" si="0"/>
        <v>#N/A</v>
      </c>
      <c r="H60" s="28">
        <v>160</v>
      </c>
      <c r="I60" s="28">
        <v>160</v>
      </c>
      <c r="J60" s="28"/>
    </row>
    <row r="61" spans="3:10" thickTop="1" thickBot="1" x14ac:dyDescent="0.3">
      <c r="C61" s="25" t="s">
        <v>77</v>
      </c>
      <c r="F61" s="3" t="e">
        <f t="shared" si="0"/>
        <v>#N/A</v>
      </c>
      <c r="H61" s="28">
        <v>200</v>
      </c>
      <c r="I61" s="28">
        <v>200</v>
      </c>
      <c r="J61" s="28">
        <v>150</v>
      </c>
    </row>
    <row r="62" spans="3:10" thickTop="1" thickBot="1" x14ac:dyDescent="0.3">
      <c r="C62" s="25" t="s">
        <v>78</v>
      </c>
      <c r="F62" s="3" t="e">
        <f t="shared" si="0"/>
        <v>#N/A</v>
      </c>
      <c r="H62" s="28">
        <v>250</v>
      </c>
      <c r="I62" s="28">
        <v>250</v>
      </c>
      <c r="J62" s="28">
        <v>250</v>
      </c>
    </row>
    <row r="63" spans="3:10" thickTop="1" thickBot="1" x14ac:dyDescent="0.3">
      <c r="C63" s="25" t="s">
        <v>79</v>
      </c>
      <c r="F63" s="3" t="e">
        <f t="shared" si="0"/>
        <v>#N/A</v>
      </c>
      <c r="H63" s="28" t="s">
        <v>104</v>
      </c>
      <c r="I63" s="28">
        <v>180</v>
      </c>
      <c r="J63" s="28">
        <v>190</v>
      </c>
    </row>
    <row r="64" spans="3:10" thickTop="1" thickBot="1" x14ac:dyDescent="0.3">
      <c r="C64" s="25" t="s">
        <v>80</v>
      </c>
      <c r="F64" s="3" t="e">
        <f t="shared" si="0"/>
        <v>#N/A</v>
      </c>
      <c r="H64" s="28">
        <v>140</v>
      </c>
      <c r="I64" s="28">
        <v>140</v>
      </c>
      <c r="J64" s="28">
        <v>260</v>
      </c>
    </row>
    <row r="65" spans="3:10" thickTop="1" thickBot="1" x14ac:dyDescent="0.3">
      <c r="C65" s="25" t="s">
        <v>81</v>
      </c>
      <c r="F65" s="3" t="e">
        <f t="shared" si="0"/>
        <v>#N/A</v>
      </c>
      <c r="H65" s="28">
        <v>180</v>
      </c>
      <c r="I65" s="28">
        <v>180</v>
      </c>
      <c r="J65" s="28">
        <v>190</v>
      </c>
    </row>
    <row r="66" spans="3:10" thickTop="1" thickBot="1" x14ac:dyDescent="0.3">
      <c r="C66" s="25" t="s">
        <v>82</v>
      </c>
      <c r="F66" s="3" t="e">
        <f t="shared" si="0"/>
        <v>#N/A</v>
      </c>
      <c r="H66" s="28">
        <v>240</v>
      </c>
      <c r="I66" s="28">
        <v>240</v>
      </c>
      <c r="J66" s="28" t="s">
        <v>107</v>
      </c>
    </row>
    <row r="67" spans="3:10" thickTop="1" thickBot="1" x14ac:dyDescent="0.3">
      <c r="C67" s="25" t="s">
        <v>83</v>
      </c>
      <c r="F67" s="3" t="e">
        <f t="shared" si="0"/>
        <v>#N/A</v>
      </c>
      <c r="H67" s="28">
        <v>180</v>
      </c>
      <c r="I67" s="28">
        <v>180</v>
      </c>
      <c r="J67" s="28">
        <v>190</v>
      </c>
    </row>
    <row r="68" spans="3:10" thickTop="1" thickBot="1" x14ac:dyDescent="0.3">
      <c r="C68" s="25" t="s">
        <v>84</v>
      </c>
      <c r="F68" s="3" t="e">
        <f t="shared" si="0"/>
        <v>#N/A</v>
      </c>
      <c r="H68" s="28">
        <v>220</v>
      </c>
      <c r="I68" s="28">
        <v>220</v>
      </c>
      <c r="J68" s="28">
        <v>220</v>
      </c>
    </row>
    <row r="69" spans="3:10" thickTop="1" thickBot="1" x14ac:dyDescent="0.3">
      <c r="C69" s="25" t="s">
        <v>85</v>
      </c>
      <c r="F69" s="3" t="e">
        <f t="shared" si="0"/>
        <v>#N/A</v>
      </c>
      <c r="H69" s="28">
        <v>240</v>
      </c>
      <c r="I69" s="28">
        <v>240</v>
      </c>
      <c r="J69" s="28" t="s">
        <v>107</v>
      </c>
    </row>
    <row r="70" spans="3:10" thickTop="1" thickBot="1" x14ac:dyDescent="0.3">
      <c r="C70" s="25" t="s">
        <v>86</v>
      </c>
      <c r="F70" s="3" t="e">
        <f t="shared" si="0"/>
        <v>#N/A</v>
      </c>
      <c r="H70" s="28">
        <v>140</v>
      </c>
      <c r="I70" s="28">
        <v>140</v>
      </c>
      <c r="J70" s="28">
        <v>140</v>
      </c>
    </row>
    <row r="71" spans="3:10" thickTop="1" thickBot="1" x14ac:dyDescent="0.3">
      <c r="C71" s="25" t="s">
        <v>87</v>
      </c>
      <c r="F71" s="3" t="e">
        <f t="shared" si="0"/>
        <v>#N/A</v>
      </c>
      <c r="H71" s="28">
        <v>120</v>
      </c>
      <c r="I71" s="28">
        <v>120</v>
      </c>
      <c r="J71" s="28"/>
    </row>
    <row r="72" spans="3:10" thickTop="1" thickBot="1" x14ac:dyDescent="0.3">
      <c r="C72" s="25" t="s">
        <v>88</v>
      </c>
      <c r="F72" s="3" t="e">
        <f t="shared" si="0"/>
        <v>#N/A</v>
      </c>
      <c r="H72" s="28">
        <v>200</v>
      </c>
      <c r="I72" s="28">
        <v>200</v>
      </c>
      <c r="J72" s="28">
        <v>200</v>
      </c>
    </row>
    <row r="73" spans="3:10" thickTop="1" thickBot="1" x14ac:dyDescent="0.3">
      <c r="C73" s="25" t="s">
        <v>89</v>
      </c>
      <c r="F73" s="3" t="e">
        <f t="shared" si="0"/>
        <v>#N/A</v>
      </c>
      <c r="H73" s="28">
        <v>200</v>
      </c>
      <c r="I73" s="28">
        <v>200</v>
      </c>
      <c r="J73" s="28">
        <v>230</v>
      </c>
    </row>
    <row r="74" spans="3:10" thickTop="1" thickBot="1" x14ac:dyDescent="0.3">
      <c r="C74" s="25" t="s">
        <v>90</v>
      </c>
      <c r="F74" s="3" t="e">
        <f t="shared" si="0"/>
        <v>#N/A</v>
      </c>
      <c r="H74" s="28"/>
      <c r="I74" s="28">
        <v>200</v>
      </c>
      <c r="J74" s="28"/>
    </row>
    <row r="75" spans="3:10" thickTop="1" thickBot="1" x14ac:dyDescent="0.3">
      <c r="C75" s="25" t="s">
        <v>91</v>
      </c>
      <c r="F75" s="3" t="e">
        <f t="shared" si="0"/>
        <v>#N/A</v>
      </c>
      <c r="H75" s="28">
        <v>180</v>
      </c>
      <c r="I75" s="28">
        <v>180</v>
      </c>
      <c r="J75" s="28">
        <v>190</v>
      </c>
    </row>
    <row r="76" spans="3:10" thickTop="1" thickBot="1" x14ac:dyDescent="0.3">
      <c r="C76" s="25" t="s">
        <v>92</v>
      </c>
      <c r="F76" s="3" t="e">
        <f t="shared" si="0"/>
        <v>#N/A</v>
      </c>
      <c r="H76" s="28">
        <v>180</v>
      </c>
      <c r="I76" s="28">
        <v>180</v>
      </c>
      <c r="J76" s="28">
        <v>180</v>
      </c>
    </row>
    <row r="77" spans="3:10" thickTop="1" thickBot="1" x14ac:dyDescent="0.3">
      <c r="C77" s="25" t="s">
        <v>93</v>
      </c>
      <c r="F77" s="3" t="e">
        <f t="shared" si="0"/>
        <v>#N/A</v>
      </c>
      <c r="H77" s="28">
        <v>160</v>
      </c>
      <c r="I77" s="28">
        <v>160</v>
      </c>
      <c r="J77" s="28">
        <v>170</v>
      </c>
    </row>
    <row r="78" spans="3:10" thickTop="1" thickBot="1" x14ac:dyDescent="0.3">
      <c r="C78" s="25" t="s">
        <v>94</v>
      </c>
      <c r="F78" s="3" t="e">
        <f t="shared" ref="F78:F141" si="1">INDEX($D$5:$G$7,MATCH(E78,$C$5:$C$7,0),MATCH(D78,$D$3:$G$3,0))</f>
        <v>#N/A</v>
      </c>
      <c r="H78" s="28">
        <v>140</v>
      </c>
      <c r="I78" s="28">
        <v>140</v>
      </c>
      <c r="J78" s="28">
        <v>220</v>
      </c>
    </row>
    <row r="79" spans="3:10" thickTop="1" thickBot="1" x14ac:dyDescent="0.3">
      <c r="C79" s="25" t="s">
        <v>95</v>
      </c>
      <c r="F79" s="3" t="e">
        <f t="shared" si="1"/>
        <v>#N/A</v>
      </c>
      <c r="H79" s="28">
        <v>180</v>
      </c>
      <c r="I79" s="28">
        <v>180</v>
      </c>
      <c r="J79" s="28" t="s">
        <v>106</v>
      </c>
    </row>
    <row r="80" spans="3:10" thickTop="1" thickBot="1" x14ac:dyDescent="0.3">
      <c r="C80" s="25" t="s">
        <v>96</v>
      </c>
      <c r="F80" s="3" t="e">
        <f t="shared" si="1"/>
        <v>#N/A</v>
      </c>
      <c r="H80" s="28">
        <f>110+110+290</f>
        <v>510</v>
      </c>
      <c r="I80" s="28">
        <f>55+55+110+110</f>
        <v>330</v>
      </c>
      <c r="J80" s="28">
        <v>240</v>
      </c>
    </row>
    <row r="81" spans="3:10" thickTop="1" thickBot="1" x14ac:dyDescent="0.3">
      <c r="C81" s="25" t="s">
        <v>97</v>
      </c>
      <c r="F81" s="3" t="e">
        <f t="shared" si="1"/>
        <v>#N/A</v>
      </c>
      <c r="H81" s="28">
        <v>200</v>
      </c>
      <c r="I81" s="28">
        <v>200</v>
      </c>
      <c r="J81" s="28">
        <v>270</v>
      </c>
    </row>
    <row r="82" spans="3:10" thickTop="1" thickBot="1" x14ac:dyDescent="0.3">
      <c r="C82" s="26" t="s">
        <v>98</v>
      </c>
      <c r="F82" s="3" t="e">
        <f t="shared" si="1"/>
        <v>#N/A</v>
      </c>
      <c r="H82" s="28" t="s">
        <v>105</v>
      </c>
      <c r="I82" s="28">
        <v>250</v>
      </c>
      <c r="J82" s="28">
        <v>150</v>
      </c>
    </row>
    <row r="83" spans="3:10" thickTop="1" thickBot="1" x14ac:dyDescent="0.3">
      <c r="C83" s="26" t="s">
        <v>99</v>
      </c>
      <c r="F83" s="3" t="e">
        <f t="shared" si="1"/>
        <v>#N/A</v>
      </c>
      <c r="H83" s="28">
        <v>110</v>
      </c>
      <c r="I83" s="28"/>
      <c r="J83" s="28"/>
    </row>
    <row r="84" spans="3:10" thickTop="1" thickBot="1" x14ac:dyDescent="0.3">
      <c r="C84" s="26" t="s">
        <v>100</v>
      </c>
      <c r="F84" s="3" t="e">
        <f t="shared" si="1"/>
        <v>#N/A</v>
      </c>
      <c r="H84" s="28">
        <v>560</v>
      </c>
      <c r="I84" s="28"/>
      <c r="J84" s="28"/>
    </row>
    <row r="85" spans="3:10" thickTop="1" thickBot="1" x14ac:dyDescent="0.3">
      <c r="C85" s="25"/>
      <c r="F85" s="3" t="e">
        <f t="shared" si="1"/>
        <v>#N/A</v>
      </c>
    </row>
    <row r="86" spans="3:10" thickTop="1" thickBot="1" x14ac:dyDescent="0.3">
      <c r="C86" s="25"/>
      <c r="F86" s="3" t="e">
        <f t="shared" si="1"/>
        <v>#N/A</v>
      </c>
    </row>
    <row r="87" spans="3:10" thickTop="1" thickBot="1" x14ac:dyDescent="0.3">
      <c r="C87" s="25"/>
      <c r="F87" s="3" t="e">
        <f t="shared" si="1"/>
        <v>#N/A</v>
      </c>
    </row>
    <row r="88" spans="3:10" thickTop="1" thickBot="1" x14ac:dyDescent="0.3">
      <c r="C88" s="25"/>
      <c r="F88" s="3" t="e">
        <f t="shared" si="1"/>
        <v>#N/A</v>
      </c>
    </row>
    <row r="89" spans="3:10" thickTop="1" thickBot="1" x14ac:dyDescent="0.3">
      <c r="C89" s="25"/>
      <c r="F89" s="3" t="e">
        <f t="shared" si="1"/>
        <v>#N/A</v>
      </c>
    </row>
    <row r="90" spans="3:10" thickTop="1" thickBot="1" x14ac:dyDescent="0.3">
      <c r="C90" s="25"/>
      <c r="F90" s="3" t="e">
        <f t="shared" si="1"/>
        <v>#N/A</v>
      </c>
    </row>
    <row r="91" spans="3:10" thickTop="1" thickBot="1" x14ac:dyDescent="0.3">
      <c r="C91" s="25"/>
      <c r="F91" s="3" t="e">
        <f t="shared" si="1"/>
        <v>#N/A</v>
      </c>
    </row>
    <row r="92" spans="3:10" thickTop="1" thickBot="1" x14ac:dyDescent="0.3">
      <c r="C92" s="25"/>
      <c r="F92" s="3" t="e">
        <f t="shared" si="1"/>
        <v>#N/A</v>
      </c>
    </row>
    <row r="93" spans="3:10" thickTop="1" thickBot="1" x14ac:dyDescent="0.3">
      <c r="C93" s="25"/>
      <c r="F93" s="3" t="e">
        <f t="shared" si="1"/>
        <v>#N/A</v>
      </c>
    </row>
    <row r="94" spans="3:10" thickTop="1" thickBot="1" x14ac:dyDescent="0.3">
      <c r="C94" s="25"/>
      <c r="F94" s="3" t="e">
        <f t="shared" si="1"/>
        <v>#N/A</v>
      </c>
    </row>
    <row r="95" spans="3:10" thickTop="1" thickBot="1" x14ac:dyDescent="0.3">
      <c r="C95" s="25"/>
      <c r="F95" s="3" t="e">
        <f t="shared" si="1"/>
        <v>#N/A</v>
      </c>
    </row>
    <row r="96" spans="3:10" thickTop="1" thickBot="1" x14ac:dyDescent="0.3">
      <c r="C96" s="25"/>
      <c r="F96" s="3" t="e">
        <f t="shared" si="1"/>
        <v>#N/A</v>
      </c>
    </row>
    <row r="97" spans="6:6" thickTop="1" thickBot="1" x14ac:dyDescent="0.3">
      <c r="F97" s="3" t="e">
        <f t="shared" si="1"/>
        <v>#N/A</v>
      </c>
    </row>
    <row r="98" spans="6:6" thickTop="1" thickBot="1" x14ac:dyDescent="0.3">
      <c r="F98" s="3" t="e">
        <f t="shared" si="1"/>
        <v>#N/A</v>
      </c>
    </row>
    <row r="99" spans="6:6" thickTop="1" thickBot="1" x14ac:dyDescent="0.3">
      <c r="F99" s="3" t="e">
        <f t="shared" si="1"/>
        <v>#N/A</v>
      </c>
    </row>
    <row r="100" spans="6:6" thickTop="1" thickBot="1" x14ac:dyDescent="0.3">
      <c r="F100" s="3" t="e">
        <f t="shared" si="1"/>
        <v>#N/A</v>
      </c>
    </row>
    <row r="101" spans="6:6" thickTop="1" thickBot="1" x14ac:dyDescent="0.3">
      <c r="F101" s="3" t="e">
        <f t="shared" si="1"/>
        <v>#N/A</v>
      </c>
    </row>
    <row r="102" spans="6:6" thickTop="1" thickBot="1" x14ac:dyDescent="0.3">
      <c r="F102" s="3" t="e">
        <f t="shared" si="1"/>
        <v>#N/A</v>
      </c>
    </row>
    <row r="103" spans="6:6" thickTop="1" thickBot="1" x14ac:dyDescent="0.3">
      <c r="F103" s="3" t="e">
        <f t="shared" si="1"/>
        <v>#N/A</v>
      </c>
    </row>
    <row r="104" spans="6:6" thickTop="1" thickBot="1" x14ac:dyDescent="0.3">
      <c r="F104" s="3" t="e">
        <f t="shared" si="1"/>
        <v>#N/A</v>
      </c>
    </row>
    <row r="105" spans="6:6" thickTop="1" thickBot="1" x14ac:dyDescent="0.3">
      <c r="F105" s="3" t="e">
        <f t="shared" si="1"/>
        <v>#N/A</v>
      </c>
    </row>
    <row r="106" spans="6:6" thickTop="1" thickBot="1" x14ac:dyDescent="0.3">
      <c r="F106" s="3" t="e">
        <f t="shared" si="1"/>
        <v>#N/A</v>
      </c>
    </row>
    <row r="107" spans="6:6" thickTop="1" thickBot="1" x14ac:dyDescent="0.3">
      <c r="F107" s="3" t="e">
        <f t="shared" si="1"/>
        <v>#N/A</v>
      </c>
    </row>
    <row r="108" spans="6:6" thickTop="1" thickBot="1" x14ac:dyDescent="0.3">
      <c r="F108" s="3" t="e">
        <f t="shared" si="1"/>
        <v>#N/A</v>
      </c>
    </row>
    <row r="109" spans="6:6" thickTop="1" thickBot="1" x14ac:dyDescent="0.3">
      <c r="F109" s="3" t="e">
        <f t="shared" si="1"/>
        <v>#N/A</v>
      </c>
    </row>
    <row r="110" spans="6:6" thickTop="1" thickBot="1" x14ac:dyDescent="0.3">
      <c r="F110" s="3" t="e">
        <f t="shared" si="1"/>
        <v>#N/A</v>
      </c>
    </row>
    <row r="111" spans="6:6" thickTop="1" thickBot="1" x14ac:dyDescent="0.3">
      <c r="F111" s="3" t="e">
        <f t="shared" si="1"/>
        <v>#N/A</v>
      </c>
    </row>
    <row r="112" spans="6:6" thickTop="1" thickBot="1" x14ac:dyDescent="0.3">
      <c r="F112" s="3" t="e">
        <f t="shared" si="1"/>
        <v>#N/A</v>
      </c>
    </row>
    <row r="113" spans="6:6" thickTop="1" thickBot="1" x14ac:dyDescent="0.3">
      <c r="F113" s="3" t="e">
        <f t="shared" si="1"/>
        <v>#N/A</v>
      </c>
    </row>
    <row r="114" spans="6:6" thickTop="1" thickBot="1" x14ac:dyDescent="0.3">
      <c r="F114" s="3" t="e">
        <f t="shared" si="1"/>
        <v>#N/A</v>
      </c>
    </row>
    <row r="115" spans="6:6" thickTop="1" thickBot="1" x14ac:dyDescent="0.3">
      <c r="F115" s="3" t="e">
        <f t="shared" si="1"/>
        <v>#N/A</v>
      </c>
    </row>
    <row r="116" spans="6:6" thickTop="1" thickBot="1" x14ac:dyDescent="0.3">
      <c r="F116" s="3" t="e">
        <f t="shared" si="1"/>
        <v>#N/A</v>
      </c>
    </row>
    <row r="117" spans="6:6" thickTop="1" thickBot="1" x14ac:dyDescent="0.3">
      <c r="F117" s="3" t="e">
        <f t="shared" si="1"/>
        <v>#N/A</v>
      </c>
    </row>
    <row r="118" spans="6:6" thickTop="1" thickBot="1" x14ac:dyDescent="0.3">
      <c r="F118" s="3" t="e">
        <f t="shared" si="1"/>
        <v>#N/A</v>
      </c>
    </row>
    <row r="119" spans="6:6" thickTop="1" thickBot="1" x14ac:dyDescent="0.3">
      <c r="F119" s="3" t="e">
        <f t="shared" si="1"/>
        <v>#N/A</v>
      </c>
    </row>
    <row r="120" spans="6:6" thickTop="1" thickBot="1" x14ac:dyDescent="0.3">
      <c r="F120" s="3" t="e">
        <f t="shared" si="1"/>
        <v>#N/A</v>
      </c>
    </row>
    <row r="121" spans="6:6" thickTop="1" thickBot="1" x14ac:dyDescent="0.3">
      <c r="F121" s="3" t="e">
        <f t="shared" si="1"/>
        <v>#N/A</v>
      </c>
    </row>
    <row r="122" spans="6:6" thickTop="1" thickBot="1" x14ac:dyDescent="0.3">
      <c r="F122" s="3" t="e">
        <f t="shared" si="1"/>
        <v>#N/A</v>
      </c>
    </row>
    <row r="123" spans="6:6" thickTop="1" thickBot="1" x14ac:dyDescent="0.3">
      <c r="F123" s="3" t="e">
        <f t="shared" si="1"/>
        <v>#N/A</v>
      </c>
    </row>
    <row r="124" spans="6:6" thickTop="1" thickBot="1" x14ac:dyDescent="0.3">
      <c r="F124" s="3" t="e">
        <f t="shared" si="1"/>
        <v>#N/A</v>
      </c>
    </row>
    <row r="125" spans="6:6" thickTop="1" thickBot="1" x14ac:dyDescent="0.3">
      <c r="F125" s="3" t="e">
        <f t="shared" si="1"/>
        <v>#N/A</v>
      </c>
    </row>
    <row r="126" spans="6:6" thickTop="1" thickBot="1" x14ac:dyDescent="0.3">
      <c r="F126" s="3" t="e">
        <f t="shared" si="1"/>
        <v>#N/A</v>
      </c>
    </row>
    <row r="127" spans="6:6" thickTop="1" thickBot="1" x14ac:dyDescent="0.3">
      <c r="F127" s="3" t="e">
        <f t="shared" si="1"/>
        <v>#N/A</v>
      </c>
    </row>
    <row r="128" spans="6:6" thickTop="1" thickBot="1" x14ac:dyDescent="0.3">
      <c r="F128" s="3" t="e">
        <f t="shared" si="1"/>
        <v>#N/A</v>
      </c>
    </row>
    <row r="129" spans="6:6" thickTop="1" thickBot="1" x14ac:dyDescent="0.3">
      <c r="F129" s="3" t="e">
        <f t="shared" si="1"/>
        <v>#N/A</v>
      </c>
    </row>
    <row r="130" spans="6:6" thickTop="1" thickBot="1" x14ac:dyDescent="0.3">
      <c r="F130" s="3" t="e">
        <f t="shared" si="1"/>
        <v>#N/A</v>
      </c>
    </row>
    <row r="131" spans="6:6" thickTop="1" thickBot="1" x14ac:dyDescent="0.3">
      <c r="F131" s="3" t="e">
        <f t="shared" si="1"/>
        <v>#N/A</v>
      </c>
    </row>
    <row r="132" spans="6:6" thickTop="1" thickBot="1" x14ac:dyDescent="0.3">
      <c r="F132" s="3" t="e">
        <f t="shared" si="1"/>
        <v>#N/A</v>
      </c>
    </row>
    <row r="133" spans="6:6" thickTop="1" thickBot="1" x14ac:dyDescent="0.3">
      <c r="F133" s="3" t="e">
        <f t="shared" si="1"/>
        <v>#N/A</v>
      </c>
    </row>
    <row r="134" spans="6:6" thickTop="1" thickBot="1" x14ac:dyDescent="0.3">
      <c r="F134" s="3" t="e">
        <f t="shared" si="1"/>
        <v>#N/A</v>
      </c>
    </row>
    <row r="135" spans="6:6" thickTop="1" thickBot="1" x14ac:dyDescent="0.3">
      <c r="F135" s="3" t="e">
        <f t="shared" si="1"/>
        <v>#N/A</v>
      </c>
    </row>
    <row r="136" spans="6:6" thickTop="1" thickBot="1" x14ac:dyDescent="0.3">
      <c r="F136" s="3" t="e">
        <f t="shared" si="1"/>
        <v>#N/A</v>
      </c>
    </row>
    <row r="137" spans="6:6" thickTop="1" thickBot="1" x14ac:dyDescent="0.3">
      <c r="F137" s="3" t="e">
        <f t="shared" si="1"/>
        <v>#N/A</v>
      </c>
    </row>
    <row r="138" spans="6:6" thickTop="1" thickBot="1" x14ac:dyDescent="0.3">
      <c r="F138" s="3" t="e">
        <f t="shared" si="1"/>
        <v>#N/A</v>
      </c>
    </row>
    <row r="139" spans="6:6" thickTop="1" thickBot="1" x14ac:dyDescent="0.3">
      <c r="F139" s="3" t="e">
        <f t="shared" si="1"/>
        <v>#N/A</v>
      </c>
    </row>
    <row r="140" spans="6:6" thickTop="1" thickBot="1" x14ac:dyDescent="0.3">
      <c r="F140" s="3" t="e">
        <f t="shared" si="1"/>
        <v>#N/A</v>
      </c>
    </row>
    <row r="141" spans="6:6" thickTop="1" thickBot="1" x14ac:dyDescent="0.3">
      <c r="F141" s="3" t="e">
        <f t="shared" si="1"/>
        <v>#N/A</v>
      </c>
    </row>
    <row r="142" spans="6:6" thickTop="1" thickBot="1" x14ac:dyDescent="0.3">
      <c r="F142" s="3" t="e">
        <f t="shared" ref="F142:F186" si="2">INDEX($D$5:$G$7,MATCH(E142,$C$5:$C$7,0),MATCH(D142,$D$3:$G$3,0))</f>
        <v>#N/A</v>
      </c>
    </row>
    <row r="143" spans="6:6" thickTop="1" thickBot="1" x14ac:dyDescent="0.3">
      <c r="F143" s="3" t="e">
        <f t="shared" si="2"/>
        <v>#N/A</v>
      </c>
    </row>
    <row r="144" spans="6:6" thickTop="1" thickBot="1" x14ac:dyDescent="0.3">
      <c r="F144" s="3" t="e">
        <f t="shared" si="2"/>
        <v>#N/A</v>
      </c>
    </row>
    <row r="145" spans="6:6" thickTop="1" thickBot="1" x14ac:dyDescent="0.3">
      <c r="F145" s="3" t="e">
        <f t="shared" si="2"/>
        <v>#N/A</v>
      </c>
    </row>
    <row r="146" spans="6:6" thickTop="1" thickBot="1" x14ac:dyDescent="0.3">
      <c r="F146" s="3" t="e">
        <f t="shared" si="2"/>
        <v>#N/A</v>
      </c>
    </row>
    <row r="147" spans="6:6" thickTop="1" thickBot="1" x14ac:dyDescent="0.3">
      <c r="F147" s="3" t="e">
        <f t="shared" si="2"/>
        <v>#N/A</v>
      </c>
    </row>
    <row r="148" spans="6:6" thickTop="1" thickBot="1" x14ac:dyDescent="0.3">
      <c r="F148" s="3" t="e">
        <f t="shared" si="2"/>
        <v>#N/A</v>
      </c>
    </row>
    <row r="149" spans="6:6" thickTop="1" thickBot="1" x14ac:dyDescent="0.3">
      <c r="F149" s="3" t="e">
        <f t="shared" si="2"/>
        <v>#N/A</v>
      </c>
    </row>
    <row r="150" spans="6:6" thickTop="1" thickBot="1" x14ac:dyDescent="0.3">
      <c r="F150" s="3" t="e">
        <f t="shared" si="2"/>
        <v>#N/A</v>
      </c>
    </row>
    <row r="151" spans="6:6" thickTop="1" thickBot="1" x14ac:dyDescent="0.3">
      <c r="F151" s="3" t="e">
        <f t="shared" si="2"/>
        <v>#N/A</v>
      </c>
    </row>
    <row r="152" spans="6:6" thickTop="1" thickBot="1" x14ac:dyDescent="0.3">
      <c r="F152" s="3" t="e">
        <f t="shared" si="2"/>
        <v>#N/A</v>
      </c>
    </row>
    <row r="153" spans="6:6" thickTop="1" thickBot="1" x14ac:dyDescent="0.3">
      <c r="F153" s="3" t="e">
        <f t="shared" si="2"/>
        <v>#N/A</v>
      </c>
    </row>
    <row r="154" spans="6:6" thickTop="1" thickBot="1" x14ac:dyDescent="0.3">
      <c r="F154" s="3" t="e">
        <f t="shared" si="2"/>
        <v>#N/A</v>
      </c>
    </row>
    <row r="155" spans="6:6" thickTop="1" thickBot="1" x14ac:dyDescent="0.3">
      <c r="F155" s="3" t="e">
        <f t="shared" si="2"/>
        <v>#N/A</v>
      </c>
    </row>
    <row r="156" spans="6:6" thickTop="1" thickBot="1" x14ac:dyDescent="0.3">
      <c r="F156" s="3" t="e">
        <f t="shared" si="2"/>
        <v>#N/A</v>
      </c>
    </row>
    <row r="157" spans="6:6" thickTop="1" thickBot="1" x14ac:dyDescent="0.3">
      <c r="F157" s="3" t="e">
        <f t="shared" si="2"/>
        <v>#N/A</v>
      </c>
    </row>
    <row r="158" spans="6:6" thickTop="1" thickBot="1" x14ac:dyDescent="0.3">
      <c r="F158" s="3" t="e">
        <f t="shared" si="2"/>
        <v>#N/A</v>
      </c>
    </row>
    <row r="159" spans="6:6" thickTop="1" thickBot="1" x14ac:dyDescent="0.3">
      <c r="F159" s="3" t="e">
        <f t="shared" si="2"/>
        <v>#N/A</v>
      </c>
    </row>
    <row r="160" spans="6:6" thickTop="1" thickBot="1" x14ac:dyDescent="0.3">
      <c r="F160" s="3" t="e">
        <f t="shared" si="2"/>
        <v>#N/A</v>
      </c>
    </row>
    <row r="161" spans="6:6" thickTop="1" thickBot="1" x14ac:dyDescent="0.3">
      <c r="F161" s="3" t="e">
        <f t="shared" si="2"/>
        <v>#N/A</v>
      </c>
    </row>
    <row r="162" spans="6:6" thickTop="1" thickBot="1" x14ac:dyDescent="0.3">
      <c r="F162" s="3" t="e">
        <f t="shared" si="2"/>
        <v>#N/A</v>
      </c>
    </row>
    <row r="163" spans="6:6" thickTop="1" thickBot="1" x14ac:dyDescent="0.3">
      <c r="F163" s="3" t="e">
        <f t="shared" si="2"/>
        <v>#N/A</v>
      </c>
    </row>
    <row r="164" spans="6:6" thickTop="1" thickBot="1" x14ac:dyDescent="0.3">
      <c r="F164" s="3" t="e">
        <f t="shared" si="2"/>
        <v>#N/A</v>
      </c>
    </row>
    <row r="165" spans="6:6" thickTop="1" thickBot="1" x14ac:dyDescent="0.3">
      <c r="F165" s="3" t="e">
        <f t="shared" si="2"/>
        <v>#N/A</v>
      </c>
    </row>
    <row r="166" spans="6:6" thickTop="1" thickBot="1" x14ac:dyDescent="0.3">
      <c r="F166" s="3" t="e">
        <f t="shared" si="2"/>
        <v>#N/A</v>
      </c>
    </row>
    <row r="167" spans="6:6" thickTop="1" thickBot="1" x14ac:dyDescent="0.3">
      <c r="F167" s="3" t="e">
        <f t="shared" si="2"/>
        <v>#N/A</v>
      </c>
    </row>
    <row r="168" spans="6:6" thickTop="1" thickBot="1" x14ac:dyDescent="0.3">
      <c r="F168" s="3" t="e">
        <f t="shared" si="2"/>
        <v>#N/A</v>
      </c>
    </row>
    <row r="169" spans="6:6" thickTop="1" thickBot="1" x14ac:dyDescent="0.3">
      <c r="F169" s="3" t="e">
        <f t="shared" si="2"/>
        <v>#N/A</v>
      </c>
    </row>
    <row r="170" spans="6:6" thickTop="1" thickBot="1" x14ac:dyDescent="0.3">
      <c r="F170" s="3" t="e">
        <f t="shared" si="2"/>
        <v>#N/A</v>
      </c>
    </row>
    <row r="171" spans="6:6" thickTop="1" thickBot="1" x14ac:dyDescent="0.3">
      <c r="F171" s="3" t="e">
        <f t="shared" si="2"/>
        <v>#N/A</v>
      </c>
    </row>
    <row r="172" spans="6:6" thickTop="1" thickBot="1" x14ac:dyDescent="0.3">
      <c r="F172" s="3" t="e">
        <f t="shared" si="2"/>
        <v>#N/A</v>
      </c>
    </row>
    <row r="173" spans="6:6" thickTop="1" thickBot="1" x14ac:dyDescent="0.3">
      <c r="F173" s="3" t="e">
        <f t="shared" si="2"/>
        <v>#N/A</v>
      </c>
    </row>
    <row r="174" spans="6:6" thickTop="1" thickBot="1" x14ac:dyDescent="0.3">
      <c r="F174" s="3" t="e">
        <f t="shared" si="2"/>
        <v>#N/A</v>
      </c>
    </row>
    <row r="175" spans="6:6" thickTop="1" thickBot="1" x14ac:dyDescent="0.3">
      <c r="F175" s="3" t="e">
        <f t="shared" si="2"/>
        <v>#N/A</v>
      </c>
    </row>
    <row r="176" spans="6:6" thickTop="1" thickBot="1" x14ac:dyDescent="0.3">
      <c r="F176" s="3" t="e">
        <f t="shared" si="2"/>
        <v>#N/A</v>
      </c>
    </row>
    <row r="177" spans="6:6" thickTop="1" thickBot="1" x14ac:dyDescent="0.3">
      <c r="F177" s="3" t="e">
        <f t="shared" si="2"/>
        <v>#N/A</v>
      </c>
    </row>
    <row r="178" spans="6:6" thickTop="1" thickBot="1" x14ac:dyDescent="0.3">
      <c r="F178" s="3" t="e">
        <f t="shared" si="2"/>
        <v>#N/A</v>
      </c>
    </row>
    <row r="179" spans="6:6" thickTop="1" thickBot="1" x14ac:dyDescent="0.3">
      <c r="F179" s="3" t="e">
        <f t="shared" si="2"/>
        <v>#N/A</v>
      </c>
    </row>
    <row r="180" spans="6:6" thickTop="1" thickBot="1" x14ac:dyDescent="0.3">
      <c r="F180" s="3" t="e">
        <f t="shared" si="2"/>
        <v>#N/A</v>
      </c>
    </row>
    <row r="181" spans="6:6" thickTop="1" thickBot="1" x14ac:dyDescent="0.3">
      <c r="F181" s="3" t="e">
        <f t="shared" si="2"/>
        <v>#N/A</v>
      </c>
    </row>
    <row r="182" spans="6:6" thickTop="1" thickBot="1" x14ac:dyDescent="0.3">
      <c r="F182" s="3" t="e">
        <f t="shared" si="2"/>
        <v>#N/A</v>
      </c>
    </row>
    <row r="183" spans="6:6" thickTop="1" thickBot="1" x14ac:dyDescent="0.3">
      <c r="F183" s="3" t="e">
        <f t="shared" si="2"/>
        <v>#N/A</v>
      </c>
    </row>
    <row r="184" spans="6:6" thickTop="1" thickBot="1" x14ac:dyDescent="0.3">
      <c r="F184" s="3" t="e">
        <f t="shared" si="2"/>
        <v>#N/A</v>
      </c>
    </row>
    <row r="185" spans="6:6" thickTop="1" thickBot="1" x14ac:dyDescent="0.3">
      <c r="F185" s="3" t="e">
        <f t="shared" si="2"/>
        <v>#N/A</v>
      </c>
    </row>
    <row r="186" spans="6:6" thickTop="1" thickBot="1" x14ac:dyDescent="0.3">
      <c r="F186" s="3" t="e">
        <f t="shared" si="2"/>
        <v>#N/A</v>
      </c>
    </row>
  </sheetData>
  <dataValidations count="1">
    <dataValidation type="list" allowBlank="1" sqref="C15:C84" xr:uid="{46C161C6-2A20-47B4-A598-245C604C0D4D}">
      <formula1>#REF!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Amigos da Esperança</dc:creator>
  <cp:lastModifiedBy>Amigos da Esperança</cp:lastModifiedBy>
  <dcterms:created xsi:type="dcterms:W3CDTF">2026-10-09T22:36:16Z</dcterms:created>
  <dcterms:modified xsi:type="dcterms:W3CDTF">2026-10-09T22:51:36Z</dcterms:modified>
</cp:coreProperties>
</file>